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C8E4D48D2FDC346/Documents/"/>
    </mc:Choice>
  </mc:AlternateContent>
  <xr:revisionPtr revIDLastSave="64" documentId="8_{DB20063A-9915-4748-92D2-05FAEB77E1A0}" xr6:coauthVersionLast="47" xr6:coauthVersionMax="47" xr10:uidLastSave="{C18AD16F-3D0C-4CAB-8317-B7824BD80023}"/>
  <bookViews>
    <workbookView xWindow="-108" yWindow="-108" windowWidth="23256" windowHeight="1245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2" l="1"/>
  <c r="M2" i="2"/>
  <c r="O2" i="2"/>
  <c r="P2" i="2"/>
  <c r="Q2" i="2"/>
  <c r="R2" i="2"/>
  <c r="M3" i="2"/>
  <c r="O3" i="2"/>
  <c r="P3" i="2"/>
  <c r="Q3" i="2"/>
  <c r="R3" i="2"/>
  <c r="M4" i="2"/>
  <c r="O4" i="2"/>
  <c r="P4" i="2"/>
  <c r="Q4" i="2"/>
  <c r="R4" i="2"/>
  <c r="M5" i="2"/>
  <c r="O5" i="2"/>
  <c r="P5" i="2"/>
  <c r="Q5" i="2"/>
  <c r="R5" i="2"/>
  <c r="M6" i="2"/>
  <c r="O6" i="2"/>
  <c r="P6" i="2"/>
  <c r="Q6" i="2"/>
  <c r="R6" i="2"/>
  <c r="M7" i="2"/>
  <c r="O7" i="2"/>
  <c r="P7" i="2"/>
  <c r="Q7" i="2"/>
  <c r="R7" i="2"/>
  <c r="M8" i="2"/>
  <c r="O8" i="2"/>
  <c r="P8" i="2"/>
  <c r="Q8" i="2"/>
  <c r="R8" i="2"/>
  <c r="M9" i="2"/>
  <c r="O9" i="2"/>
  <c r="P9" i="2"/>
  <c r="Q9" i="2"/>
  <c r="R9" i="2"/>
  <c r="M10" i="2"/>
  <c r="O10" i="2"/>
  <c r="P10" i="2"/>
  <c r="Q10" i="2"/>
  <c r="R10" i="2"/>
  <c r="M11" i="2"/>
  <c r="O11" i="2"/>
  <c r="P11" i="2"/>
  <c r="Q11" i="2"/>
  <c r="R11" i="2"/>
  <c r="M12" i="2"/>
  <c r="O12" i="2"/>
  <c r="P12" i="2"/>
  <c r="Q12" i="2"/>
  <c r="R12" i="2"/>
  <c r="M13" i="2"/>
  <c r="O13" i="2"/>
  <c r="P13" i="2"/>
  <c r="Q13" i="2"/>
  <c r="R13" i="2"/>
  <c r="M14" i="2"/>
  <c r="O14" i="2"/>
  <c r="P14" i="2"/>
  <c r="Q14" i="2"/>
  <c r="R14" i="2"/>
  <c r="M15" i="2"/>
  <c r="O15" i="2"/>
  <c r="P15" i="2"/>
  <c r="Q15" i="2"/>
  <c r="R15" i="2"/>
  <c r="M16" i="2"/>
  <c r="O16" i="2"/>
  <c r="P16" i="2"/>
  <c r="Q16" i="2"/>
  <c r="R16" i="2"/>
  <c r="M17" i="2"/>
  <c r="O17" i="2"/>
  <c r="P17" i="2"/>
  <c r="Q17" i="2"/>
  <c r="R17" i="2"/>
  <c r="M18" i="2"/>
  <c r="O18" i="2"/>
  <c r="P18" i="2"/>
  <c r="Q18" i="2"/>
  <c r="R18" i="2"/>
  <c r="M19" i="2"/>
  <c r="O19" i="2"/>
  <c r="P19" i="2"/>
  <c r="Q19" i="2"/>
  <c r="R19" i="2"/>
  <c r="M20" i="2"/>
  <c r="O20" i="2"/>
  <c r="P20" i="2"/>
  <c r="Q20" i="2"/>
  <c r="R20" i="2"/>
  <c r="M21" i="2"/>
  <c r="O21" i="2"/>
  <c r="P21" i="2"/>
  <c r="Q21" i="2"/>
  <c r="R21" i="2"/>
  <c r="M22" i="2"/>
  <c r="O22" i="2"/>
  <c r="P22" i="2"/>
  <c r="Q22" i="2"/>
  <c r="R22" i="2"/>
  <c r="M23" i="2"/>
  <c r="O23" i="2"/>
  <c r="P23" i="2"/>
  <c r="Q23" i="2"/>
  <c r="R23" i="2"/>
  <c r="M24" i="2"/>
  <c r="O24" i="2"/>
  <c r="P24" i="2"/>
  <c r="Q24" i="2"/>
  <c r="R24" i="2"/>
  <c r="M25" i="2"/>
  <c r="O25" i="2"/>
  <c r="P25" i="2"/>
  <c r="Q25" i="2"/>
  <c r="R25" i="2"/>
  <c r="M26" i="2"/>
  <c r="O26" i="2"/>
  <c r="P26" i="2"/>
  <c r="Q26" i="2"/>
  <c r="R26" i="2"/>
  <c r="M27" i="2"/>
  <c r="O27" i="2"/>
  <c r="P27" i="2"/>
  <c r="Q27" i="2"/>
  <c r="R27" i="2"/>
  <c r="M28" i="2"/>
  <c r="O28" i="2"/>
  <c r="P28" i="2"/>
  <c r="Q28" i="2"/>
  <c r="R28" i="2"/>
  <c r="M29" i="2"/>
  <c r="O29" i="2"/>
  <c r="P29" i="2"/>
  <c r="Q29" i="2"/>
  <c r="R29" i="2"/>
  <c r="M30" i="2"/>
  <c r="O30" i="2"/>
  <c r="P30" i="2"/>
  <c r="Q30" i="2"/>
  <c r="R30" i="2"/>
  <c r="M31" i="2"/>
  <c r="O31" i="2"/>
  <c r="P31" i="2"/>
  <c r="Q31" i="2"/>
  <c r="R31" i="2"/>
  <c r="M32" i="2"/>
  <c r="O32" i="2"/>
  <c r="P32" i="2"/>
  <c r="Q32" i="2"/>
  <c r="R32" i="2"/>
  <c r="E36" i="2"/>
  <c r="E38" i="2"/>
</calcChain>
</file>

<file path=xl/sharedStrings.xml><?xml version="1.0" encoding="utf-8"?>
<sst xmlns="http://schemas.openxmlformats.org/spreadsheetml/2006/main" count="298" uniqueCount="129">
  <si>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</si>
  <si>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</si>
  <si>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</si>
  <si>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</si>
  <si>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</si>
  <si>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</si>
  <si>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</si>
  <si>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</si>
  <si>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</si>
  <si>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</si>
  <si>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</si>
  <si>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</si>
  <si>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</si>
  <si>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</si>
  <si>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</si>
  <si>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</si>
  <si>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</si>
  <si>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</si>
  <si>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</si>
  <si>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</si>
  <si>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</si>
  <si>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</si>
  <si>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</si>
  <si>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</si>
  <si>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</si>
  <si>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</si>
  <si>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</si>
  <si>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</si>
  <si>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</si>
  <si>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</si>
  <si>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</si>
  <si>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</si>
  <si>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</si>
  <si>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</si>
  <si>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</si>
  <si>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</si>
  <si>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</si>
  <si>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</si>
  <si>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</si>
  <si>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</si>
  <si>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</si>
  <si>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</si>
  <si>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</si>
  <si>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</si>
  <si>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</si>
  <si>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</si>
  <si>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</si>
  <si>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</si>
  <si>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</si>
  <si>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</si>
  <si>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</si>
  <si>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</si>
  <si>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</si>
  <si>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</si>
  <si>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</si>
  <si>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</si>
  <si>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</si>
  <si>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</si>
  <si>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</si>
  <si>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</si>
  <si>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</si>
  <si>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</si>
  <si>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</si>
  <si>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</si>
  <si>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</si>
  <si>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</si>
  <si>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</si>
  <si>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</si>
  <si>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</si>
  <si>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</si>
  <si>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</si>
  <si>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</si>
  <si>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</si>
  <si>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</si>
  <si>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</si>
  <si>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</si>
  <si>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</si>
  <si>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</si>
  <si>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</si>
  <si>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</si>
  <si>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</si>
  <si>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</si>
  <si>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</si>
  <si>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</si>
  <si>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</si>
  <si>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</si>
  <si>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</si>
  <si>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</si>
  <si>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</si>
  <si>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</si>
  <si>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</si>
  <si>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</si>
  <si>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</si>
  <si>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</t>
  </si>
  <si>
    <t>Product Name2</t>
  </si>
  <si>
    <t xml:space="preserve">Count Blank Price </t>
  </si>
  <si>
    <t>Count Blank Category</t>
  </si>
  <si>
    <t>DAY</t>
  </si>
  <si>
    <t>MONTH</t>
  </si>
  <si>
    <t>COUNTRY</t>
  </si>
  <si>
    <t>Lap top</t>
  </si>
  <si>
    <t>Lap top Bag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</si>
  <si>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</si>
  <si>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</si>
  <si>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</si>
  <si>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</si>
  <si>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</si>
  <si>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</si>
  <si>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</si>
  <si>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</si>
  <si>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</si>
  <si>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</si>
  <si>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</si>
  <si>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</si>
  <si>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</si>
  <si>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</si>
  <si>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</si>
  <si>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</si>
  <si>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</si>
  <si>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</si>
  <si>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</si>
  <si>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</si>
  <si>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</si>
  <si>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</si>
  <si>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</si>
  <si>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</si>
  <si>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 xml:space="preserve">MONTH </t>
  </si>
  <si>
    <t>price($)</t>
  </si>
  <si>
    <t>500&gt; Values  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</si>
</sst>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8">
    <font>
      <sz val="10"/>
      <color rgb="FF000000"/>
      <name val="Arial"/>
      <charset val="134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rgb="FF006100"/>
      <name val="Arial"/>
      <family val="2"/>
      <scheme val="minor"/>
    </font>
    <font>
      <sz val="10"/>
      <color rgb="FF000000"/>
      <name val="Arial"/>
      <charset val="134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44" fontId="5" fillId="0" borderId="0" applyFont="0" applyFill="0" applyBorder="0" applyAlignment="0" applyProtection="0"/>
    <xf numFmtId="0" fontId="6" fillId="6" borderId="0" applyNumberFormat="0" applyBorder="0" applyAlignment="0" applyProtection="0"/>
    <xf numFmtId="0" fontId="7" fillId="7" borderId="1" applyNumberFormat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3" fillId="3" borderId="0" xfId="0" applyFont="1" applyFill="1" applyAlignment="1">
      <alignment horizontal="right"/>
    </xf>
    <xf numFmtId="0" fontId="4" fillId="4" borderId="0" xfId="1" applyAlignment="1">
      <alignment horizontal="center"/>
    </xf>
    <xf numFmtId="0" fontId="4" fillId="4" borderId="0" xfId="1" applyAlignment="1">
      <alignment horizontal="center" vertical="center"/>
    </xf>
    <xf numFmtId="0" fontId="1" fillId="5" borderId="0" xfId="2" applyAlignment="1">
      <alignment horizontal="center"/>
    </xf>
    <xf numFmtId="0" fontId="1" fillId="5" borderId="0" xfId="2"/>
    <xf numFmtId="2" fontId="4" fillId="4" borderId="0" xfId="3" applyNumberFormat="1" applyFont="1" applyFill="1" applyAlignment="1">
      <alignment horizontal="center"/>
    </xf>
    <xf numFmtId="2" fontId="3" fillId="0" borderId="0" xfId="0" applyNumberFormat="1" applyFont="1"/>
    <xf numFmtId="2" fontId="3" fillId="3" borderId="0" xfId="0" applyNumberFormat="1" applyFont="1" applyFill="1"/>
    <xf numFmtId="44" fontId="1" fillId="5" borderId="0" xfId="3" applyFont="1" applyFill="1" applyAlignment="1">
      <alignment horizontal="center"/>
    </xf>
    <xf numFmtId="0" fontId="6" fillId="6" borderId="0" xfId="4"/>
    <xf numFmtId="0" fontId="7" fillId="7" borderId="1" xfId="5" applyAlignment="1">
      <alignment horizontal="center"/>
    </xf>
    <xf numFmtId="0" fontId="7" fillId="7" borderId="1" xfId="5"/>
  </cellXfs>
  <cellStyles count="6">
    <cellStyle name="20% - Accent4" xfId="2" builtinId="42"/>
    <cellStyle name="Bad" xfId="4" builtinId="27"/>
    <cellStyle name="Currency" xfId="3" builtinId="4"/>
    <cellStyle name="Good" xfId="1" builtinId="26"/>
    <cellStyle name="Input" xfId="5" builtinId="20"/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  <tableStyle name="Table Style 1" pivot="0" count="0" xr9:uid="{A010C854-81B4-4785-8DBE-4BD71264B0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7FCAB-893C-4CB2-AE33-D630CA8D3435}" name="Table1" displayName="Table1" ref="J1:R32" totalsRowShown="0" headerRowDxfId="13" headerRowCellStyle="Good" dataCellStyle="Good">
  <autoFilter ref="J1:R32" xr:uid="{3397FCAB-893C-4CB2-AE33-D630CA8D3435}"/>
  <tableColumns count="9">
    <tableColumn id="1" xr3:uid="{76D3B5BD-E540-4603-8F83-89C427296798}" name="Product Name" dataDxfId="12" dataCellStyle="Good"/>
    <tableColumn id="2" xr3:uid="{88D8C856-A25C-4B97-9EDB-F7CCBE93A15C}" name="Product Name2" dataDxfId="11" dataCellStyle="Good"/>
    <tableColumn id="3" xr3:uid="{C2411CD3-02A3-493D-B18E-B1BDE8666142}" name="Brand Name" dataDxfId="10" dataCellStyle="Good"/>
    <tableColumn id="4" xr3:uid="{DB173450-1DF4-4B6E-A21D-99378187AA31}" name="price($)" dataDxfId="9" dataCellStyle="Currency"/>
    <tableColumn id="5" xr3:uid="{D6AB2736-2E5F-4F8A-9DB7-0CD84969FD79}" name="Quantity" dataDxfId="8" dataCellStyle="Good"/>
    <tableColumn id="6" xr3:uid="{6A0379C2-16D6-47D7-B58F-DEE767370F3D}" name="Category" dataDxfId="7" dataCellStyle="20% - Accent4">
      <calculatedColumnFormula>IF(ISBLANK(F2),"UNKNOWN",F2)</calculatedColumnFormula>
    </tableColumn>
    <tableColumn id="9" xr3:uid="{06B8E226-3D79-4E19-A1E2-DBF84332992C}" name="DAY" dataDxfId="6" dataCellStyle="20% - Accent4">
      <calculatedColumnFormula>LEFT(A2,2)</calculatedColumnFormula>
    </tableColumn>
    <tableColumn id="10" xr3:uid="{9F2E44B6-4B7B-46A0-B44A-C686A9B650C8}" name="MONTH" dataDxfId="5" dataCellStyle="20% - Accent4">
      <calculatedColumnFormula>MID(A2,4,3)</calculatedColumnFormula>
    </tableColumn>
    <tableColumn id="11" xr3:uid="{D8720501-F715-45CA-8C2F-02D1501DA619}" name="COUNTRY" dataDxfId="4" dataCellStyle="20% - Accent4">
      <calculatedColumnFormula>RIGHT(A2,2)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54263B-2696-4698-A1A9-E4665A30EB96}" name="Table3" displayName="Table3" ref="G1:I32" totalsRowShown="0" headerRowDxfId="3" headerRowCellStyle="Input" dataCellStyle="Input">
  <autoFilter ref="G1:I32" xr:uid="{FB54263B-2696-4698-A1A9-E4665A30EB96}"/>
  <tableColumns count="3">
    <tableColumn id="1" xr3:uid="{24A2E693-7883-4068-A93A-E18555A7A90F}" name="DAY" dataCellStyle="Input"/>
    <tableColumn id="2" xr3:uid="{9CF72F22-F276-42E3-9624-24BB596E5FC1}" name="MONTH " dataCellStyle="Input"/>
    <tableColumn id="3" xr3:uid="{85A9E6B3-732B-4E71-8104-97AC5F1BB1B0}" name="COUNTRY" dataCellStyle="Input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zoomScale="55" zoomScaleNormal="55" workbookViewId="0">
      <selection activeCell="N40" sqref="N40"/>
    </sheetView>
  </sheetViews>
  <sheetFormatPr defaultColWidth="12.6640625" defaultRowHeight="15" customHeight="1"/>
  <cols>
    <col min="1" max="1" width="12.6640625" customWidth="1"/>
    <col min="2" max="2" width="14.6640625" bestFit="1" customWidth="1"/>
    <col min="3" max="3" width="12.6640625" customWidth="1"/>
    <col min="4" max="4" width="19.109375" bestFit="1" customWidth="1"/>
    <col min="5" max="6" width="12.6640625" customWidth="1"/>
    <col min="8" max="8" width="12.6640625" customWidth="1"/>
    <col min="9" max="9" width="30.109375" bestFit="1" customWidth="1"/>
    <col min="10" max="10" width="31.77734375" bestFit="1" customWidth="1"/>
    <col min="11" max="11" width="27.6640625" bestFit="1" customWidth="1"/>
    <col min="13" max="13" width="23.5546875" bestFit="1" customWidth="1"/>
    <col min="14" max="14" width="24.33203125" bestFit="1" customWidth="1"/>
  </cols>
  <sheetData>
    <row r="1" spans="1: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6" t="s">
        <v>97</v>
      </c>
      <c r="H1" s="16" t="s">
        <v>126</v>
      </c>
      <c r="I1" s="16" t="s">
        <v>99</v>
      </c>
      <c r="J1" s="7" t="s">
        <v>1</v>
      </c>
      <c r="K1" s="7" t="s">
        <v>94</v>
      </c>
      <c r="L1" s="7" t="s">
        <v>2</v>
      </c>
      <c r="M1" s="11" t="s">
        <v>127</v>
      </c>
      <c r="N1" s="7" t="s">
        <v>4</v>
      </c>
      <c r="O1" s="7" t="s">
        <v>5</v>
      </c>
      <c r="P1" s="7" t="s">
        <v>97</v>
      </c>
      <c r="Q1" s="7" t="s">
        <v>98</v>
      </c>
      <c r="R1" s="7" t="s">
        <v>99</v>
      </c>
    </row>
    <row r="2" spans="1:18" ht="15.75" customHeight="1">
      <c r="A2" s="12" t="s">
        <v>6</v>
      </c>
      <c r="B2" s="2" t="s">
        <v>100</v>
      </c>
      <c r="C2" s="2" t="s">
        <v>7</v>
      </c>
      <c r="D2" s="2">
        <v>1000</v>
      </c>
      <c r="E2" s="5">
        <v>30</v>
      </c>
      <c r="F2" s="2" t="s">
        <v>8</v>
      </c>
      <c r="G2" s="17">
        <v>28</v>
      </c>
      <c r="H2" s="17" t="s">
        <v>102</v>
      </c>
      <c r="I2" s="17" t="s">
        <v>103</v>
      </c>
      <c r="J2" s="7" t="s">
        <v>100</v>
      </c>
      <c r="K2" s="7" t="s">
        <v>7</v>
      </c>
      <c r="L2" s="7" t="s">
        <v>7</v>
      </c>
      <c r="M2" s="14">
        <f>IF(ISBLANK(D2),AVERAGE(D2:I3D32),D2)</f>
        <v>1000</v>
      </c>
      <c r="N2" s="8">
        <v>30</v>
      </c>
      <c r="O2" s="9" t="str">
        <f>IF(ISBLANK(F2),"UNKNOWN",F2)</f>
        <v>Electronics</v>
      </c>
      <c r="P2" s="9" t="str">
        <f>LEFT(A2,2)</f>
        <v>28</v>
      </c>
      <c r="Q2" s="10" t="str">
        <f>MID(A2,4,3)</f>
        <v>JAN</v>
      </c>
      <c r="R2" s="10" t="str">
        <f>RIGHT(A2,2)</f>
        <v>US</v>
      </c>
    </row>
    <row r="3" spans="1:18" ht="15.75" customHeight="1">
      <c r="A3" s="13" t="s">
        <v>9</v>
      </c>
      <c r="B3" s="3" t="s">
        <v>10</v>
      </c>
      <c r="C3" s="3" t="s">
        <v>11</v>
      </c>
      <c r="D3" s="3">
        <v>80</v>
      </c>
      <c r="E3" s="6">
        <v>15</v>
      </c>
      <c r="F3" s="3" t="s">
        <v>12</v>
      </c>
      <c r="G3" s="17">
        <v>15</v>
      </c>
      <c r="H3" s="17" t="s">
        <v>104</v>
      </c>
      <c r="I3" s="17" t="s">
        <v>103</v>
      </c>
      <c r="J3" s="7" t="s">
        <v>10</v>
      </c>
      <c r="K3" s="7" t="s">
        <v>11</v>
      </c>
      <c r="L3" s="7" t="s">
        <v>11</v>
      </c>
      <c r="M3" s="14">
        <f>IF(ISBLANK(D3),AVERAGE(D3:D33),D3)</f>
        <v>80</v>
      </c>
      <c r="N3" s="8">
        <v>15</v>
      </c>
      <c r="O3" s="9" t="str">
        <f>IF(ISBLANK(F3),"UNKNOWN",F3)</f>
        <v>Fashion</v>
      </c>
      <c r="P3" s="9" t="str">
        <f>LEFT(A3,2)</f>
        <v>15</v>
      </c>
      <c r="Q3" s="10" t="str">
        <f>MID(A3,4,3)</f>
        <v>FEB</v>
      </c>
      <c r="R3" s="10" t="str">
        <f>RIGHT(A3,2)</f>
        <v>US</v>
      </c>
    </row>
    <row r="4" spans="1:18" ht="15.75" customHeight="1">
      <c r="A4" s="12" t="s">
        <v>13</v>
      </c>
      <c r="B4" s="2" t="s">
        <v>14</v>
      </c>
      <c r="C4" s="2" t="s">
        <v>15</v>
      </c>
      <c r="D4" s="2">
        <v>130</v>
      </c>
      <c r="E4" s="5">
        <v>40</v>
      </c>
      <c r="F4" s="2" t="s">
        <v>16</v>
      </c>
      <c r="G4" s="17">
        <v>3</v>
      </c>
      <c r="H4" s="17" t="s">
        <v>105</v>
      </c>
      <c r="I4" s="17" t="s">
        <v>103</v>
      </c>
      <c r="J4" s="7" t="s">
        <v>14</v>
      </c>
      <c r="K4" s="7" t="s">
        <v>15</v>
      </c>
      <c r="L4" s="7" t="s">
        <v>15</v>
      </c>
      <c r="M4" s="14">
        <f>IF(ISBLANK(D4),AVERAGE(D4:D34),D4)</f>
        <v>130</v>
      </c>
      <c r="N4" s="8">
        <v>40</v>
      </c>
      <c r="O4" s="9" t="str">
        <f>IF(ISBLANK(F4),"UNKNOWN",F4)</f>
        <v>Kitchen</v>
      </c>
      <c r="P4" s="9" t="str">
        <f>LEFT(A4,2)</f>
        <v>03</v>
      </c>
      <c r="Q4" s="10" t="str">
        <f>MID(A4,4,3)</f>
        <v>MAR</v>
      </c>
      <c r="R4" s="10" t="str">
        <f>RIGHT(A4,2)</f>
        <v>US</v>
      </c>
    </row>
    <row r="5" spans="1:18" ht="15.75" customHeight="1">
      <c r="A5" s="13" t="s">
        <v>17</v>
      </c>
      <c r="B5" s="3" t="s">
        <v>18</v>
      </c>
      <c r="C5" s="3" t="s">
        <v>19</v>
      </c>
      <c r="D5" s="3">
        <v>900</v>
      </c>
      <c r="E5" s="6">
        <v>25</v>
      </c>
      <c r="F5" s="3" t="s">
        <v>8</v>
      </c>
      <c r="G5" s="17">
        <v>11</v>
      </c>
      <c r="H5" s="17" t="s">
        <v>106</v>
      </c>
      <c r="I5" s="17" t="s">
        <v>103</v>
      </c>
      <c r="J5" s="7" t="s">
        <v>18</v>
      </c>
      <c r="K5" s="7" t="s">
        <v>19</v>
      </c>
      <c r="L5" s="7" t="s">
        <v>19</v>
      </c>
      <c r="M5" s="14">
        <f>IF(ISBLANK(D5),AVERAGE(D5:D34),D5)</f>
        <v>900</v>
      </c>
      <c r="N5" s="8">
        <v>25</v>
      </c>
      <c r="O5" s="9" t="str">
        <f>IF(ISBLANK(F5),"UNKNOWN",F5)</f>
        <v>Electronics</v>
      </c>
      <c r="P5" s="9" t="str">
        <f>LEFT(A5,2)</f>
        <v>11</v>
      </c>
      <c r="Q5" s="10" t="str">
        <f>MID(A5,4,3)</f>
        <v>APR</v>
      </c>
      <c r="R5" s="10" t="str">
        <f>RIGHT(A5,2)</f>
        <v>US</v>
      </c>
    </row>
    <row r="6" spans="1:18" ht="15.75" customHeight="1">
      <c r="A6" s="12" t="s">
        <v>20</v>
      </c>
      <c r="B6" s="2" t="s">
        <v>21</v>
      </c>
      <c r="C6" s="2" t="s">
        <v>22</v>
      </c>
      <c r="D6" s="2">
        <v>70</v>
      </c>
      <c r="E6" s="5">
        <v>20</v>
      </c>
      <c r="F6" s="2"/>
      <c r="G6" s="17">
        <v>22</v>
      </c>
      <c r="H6" s="17" t="s">
        <v>107</v>
      </c>
      <c r="I6" s="17" t="s">
        <v>103</v>
      </c>
      <c r="J6" s="7" t="s">
        <v>21</v>
      </c>
      <c r="K6" s="7" t="s">
        <v>22</v>
      </c>
      <c r="L6" s="7" t="s">
        <v>22</v>
      </c>
      <c r="M6" s="14">
        <f>IF(ISBLANK(D6),AVERAGE(D6:D34),D6)</f>
        <v>70</v>
      </c>
      <c r="N6" s="8">
        <v>20</v>
      </c>
      <c r="O6" s="9" t="str">
        <f>IF(ISBLANK(F6),"UNKNOWN",F6)</f>
        <v>UNKNOWN</v>
      </c>
      <c r="P6" s="9" t="str">
        <f>LEFT(A6,2)</f>
        <v>22</v>
      </c>
      <c r="Q6" s="10" t="str">
        <f>MID(A6,4,3)</f>
        <v>MAY</v>
      </c>
      <c r="R6" s="10" t="str">
        <f>RIGHT(A6,2)</f>
        <v>US</v>
      </c>
    </row>
    <row r="7" spans="1:18" ht="15.75" customHeight="1">
      <c r="A7" s="13" t="s">
        <v>23</v>
      </c>
      <c r="B7" s="3" t="s">
        <v>24</v>
      </c>
      <c r="C7" s="3" t="s">
        <v>25</v>
      </c>
      <c r="D7" s="3"/>
      <c r="E7" s="6">
        <v>45</v>
      </c>
      <c r="F7" s="3" t="s">
        <v>8</v>
      </c>
      <c r="G7" s="17">
        <v>7</v>
      </c>
      <c r="H7" s="17" t="s">
        <v>108</v>
      </c>
      <c r="I7" s="17" t="s">
        <v>109</v>
      </c>
      <c r="J7" s="7" t="s">
        <v>24</v>
      </c>
      <c r="K7" s="7" t="s">
        <v>25</v>
      </c>
      <c r="L7" s="7" t="s">
        <v>25</v>
      </c>
      <c r="M7" s="14">
        <f>IF(ISBLANK(D7),AVERAGE(D7:D34),D7)</f>
        <v>267.82608695652175</v>
      </c>
      <c r="N7" s="8">
        <v>45</v>
      </c>
      <c r="O7" s="9" t="str">
        <f>IF(ISBLANK(F7),"UNKNOWN",F7)</f>
        <v>Electronics</v>
      </c>
      <c r="P7" s="9" t="str">
        <f>LEFT(A7,2)</f>
        <v>07</v>
      </c>
      <c r="Q7" s="10" t="str">
        <f>MID(A7,4,3)</f>
        <v>JUN</v>
      </c>
      <c r="R7" s="10" t="str">
        <f>RIGHT(A7,2)</f>
        <v>UK</v>
      </c>
    </row>
    <row r="8" spans="1:18" ht="15.75" customHeight="1">
      <c r="A8" s="12" t="s">
        <v>26</v>
      </c>
      <c r="B8" s="2" t="s">
        <v>27</v>
      </c>
      <c r="C8" s="2" t="s">
        <v>28</v>
      </c>
      <c r="D8" s="2">
        <v>30</v>
      </c>
      <c r="E8" s="5">
        <v>5</v>
      </c>
      <c r="F8" s="2" t="s">
        <v>12</v>
      </c>
      <c r="G8" s="17">
        <v>19</v>
      </c>
      <c r="H8" s="17" t="s">
        <v>110</v>
      </c>
      <c r="I8" s="17" t="s">
        <v>109</v>
      </c>
      <c r="J8" s="7" t="s">
        <v>27</v>
      </c>
      <c r="K8" s="7" t="s">
        <v>28</v>
      </c>
      <c r="L8" s="7" t="s">
        <v>28</v>
      </c>
      <c r="M8" s="14">
        <f>IF(ISBLANK(D8),AVERAGE(D8:D38),D8)</f>
        <v>30</v>
      </c>
      <c r="N8" s="8">
        <v>5</v>
      </c>
      <c r="O8" s="9" t="str">
        <f>IF(ISBLANK(F8),"UNKNOWN",F8)</f>
        <v>Fashion</v>
      </c>
      <c r="P8" s="9" t="str">
        <f>LEFT(A8,2)</f>
        <v>19</v>
      </c>
      <c r="Q8" s="10" t="str">
        <f>MID(A8,4,3)</f>
        <v>JUL</v>
      </c>
      <c r="R8" s="10" t="str">
        <f>RIGHT(A8,2)</f>
        <v>UK</v>
      </c>
    </row>
    <row r="9" spans="1:18" ht="15.75" customHeight="1">
      <c r="A9" s="13" t="s">
        <v>29</v>
      </c>
      <c r="B9" s="3" t="s">
        <v>30</v>
      </c>
      <c r="C9" s="3" t="s">
        <v>31</v>
      </c>
      <c r="D9" s="3">
        <v>90</v>
      </c>
      <c r="E9" s="6">
        <v>35</v>
      </c>
      <c r="F9" s="3" t="s">
        <v>16</v>
      </c>
      <c r="G9" s="17">
        <v>23</v>
      </c>
      <c r="H9" s="17" t="s">
        <v>111</v>
      </c>
      <c r="I9" s="17" t="s">
        <v>109</v>
      </c>
      <c r="J9" s="7" t="s">
        <v>30</v>
      </c>
      <c r="K9" s="7" t="s">
        <v>31</v>
      </c>
      <c r="L9" s="7" t="s">
        <v>31</v>
      </c>
      <c r="M9" s="14">
        <f>IF(ISBLANK(D9),AVERAGE(D9:D39),D9)</f>
        <v>90</v>
      </c>
      <c r="N9" s="8">
        <v>35</v>
      </c>
      <c r="O9" s="9" t="str">
        <f>IF(ISBLANK(F9),"UNKNOWN",F9)</f>
        <v>Kitchen</v>
      </c>
      <c r="P9" s="9" t="str">
        <f>LEFT(A9,2)</f>
        <v>23</v>
      </c>
      <c r="Q9" s="10" t="str">
        <f>MID(A9,4,3)</f>
        <v>AUG</v>
      </c>
      <c r="R9" s="10" t="str">
        <f>RIGHT(A9,2)</f>
        <v>UK</v>
      </c>
    </row>
    <row r="10" spans="1:18" ht="15.75" customHeight="1">
      <c r="A10" s="12" t="s">
        <v>32</v>
      </c>
      <c r="B10" s="2" t="s">
        <v>33</v>
      </c>
      <c r="C10" s="2" t="s">
        <v>34</v>
      </c>
      <c r="D10" s="2">
        <v>500</v>
      </c>
      <c r="E10" s="5">
        <v>50</v>
      </c>
      <c r="F10" s="2" t="s">
        <v>8</v>
      </c>
      <c r="G10" s="17">
        <v>5</v>
      </c>
      <c r="H10" s="17" t="s">
        <v>112</v>
      </c>
      <c r="I10" s="17" t="s">
        <v>109</v>
      </c>
      <c r="J10" s="7" t="s">
        <v>33</v>
      </c>
      <c r="K10" s="7" t="s">
        <v>34</v>
      </c>
      <c r="L10" s="7" t="s">
        <v>34</v>
      </c>
      <c r="M10" s="14">
        <f>IF(ISBLANK(D10),AVERAGE(D10:D40),D10)</f>
        <v>500</v>
      </c>
      <c r="N10" s="8">
        <v>50</v>
      </c>
      <c r="O10" s="9" t="str">
        <f>IF(ISBLANK(F10),"UNKNOWN",F10)</f>
        <v>Electronics</v>
      </c>
      <c r="P10" s="9" t="str">
        <f>LEFT(A10,2)</f>
        <v>05</v>
      </c>
      <c r="Q10" s="10" t="str">
        <f>MID(A10,4,3)</f>
        <v>SEP</v>
      </c>
      <c r="R10" s="10" t="str">
        <f>RIGHT(A10,2)</f>
        <v>UK</v>
      </c>
    </row>
    <row r="11" spans="1:18" ht="15.75" customHeight="1">
      <c r="A11" s="13" t="s">
        <v>35</v>
      </c>
      <c r="B11" s="3" t="s">
        <v>36</v>
      </c>
      <c r="C11" s="3" t="s">
        <v>37</v>
      </c>
      <c r="D11" s="3">
        <v>130</v>
      </c>
      <c r="E11" s="6">
        <v>10</v>
      </c>
      <c r="F11" s="3" t="s">
        <v>38</v>
      </c>
      <c r="G11" s="17">
        <v>14</v>
      </c>
      <c r="H11" s="17" t="s">
        <v>113</v>
      </c>
      <c r="I11" s="17" t="s">
        <v>109</v>
      </c>
      <c r="J11" s="7" t="s">
        <v>36</v>
      </c>
      <c r="K11" s="7" t="s">
        <v>37</v>
      </c>
      <c r="L11" s="7" t="s">
        <v>37</v>
      </c>
      <c r="M11" s="14">
        <f>IF(ISBLANK(D11),AVERAGE(D11:D41),D11)</f>
        <v>130</v>
      </c>
      <c r="N11" s="8">
        <v>10</v>
      </c>
      <c r="O11" s="9" t="str">
        <f>IF(ISBLANK(F11),"UNKNOWN",F11)</f>
        <v>Outdoor</v>
      </c>
      <c r="P11" s="9" t="str">
        <f>LEFT(A11,2)</f>
        <v>14</v>
      </c>
      <c r="Q11" s="10" t="str">
        <f>MID(A11,4,3)</f>
        <v>OCT</v>
      </c>
      <c r="R11" s="10" t="str">
        <f>RIGHT(A11,2)</f>
        <v>UK</v>
      </c>
    </row>
    <row r="12" spans="1:18" ht="15.75" customHeight="1">
      <c r="A12" s="12" t="s">
        <v>39</v>
      </c>
      <c r="B12" s="2" t="s">
        <v>100</v>
      </c>
      <c r="C12" s="2" t="s">
        <v>40</v>
      </c>
      <c r="D12" s="2">
        <v>950</v>
      </c>
      <c r="E12" s="5">
        <v>25</v>
      </c>
      <c r="F12" s="2" t="s">
        <v>8</v>
      </c>
      <c r="G12" s="17">
        <v>17</v>
      </c>
      <c r="H12" s="17" t="s">
        <v>108</v>
      </c>
      <c r="I12" s="17" t="s">
        <v>114</v>
      </c>
      <c r="J12" s="7" t="s">
        <v>100</v>
      </c>
      <c r="K12" s="7" t="s">
        <v>40</v>
      </c>
      <c r="L12" s="7" t="s">
        <v>40</v>
      </c>
      <c r="M12" s="14">
        <f>IF(ISBLANK(D12),AVERAGE(D12:D42),D12)</f>
        <v>950</v>
      </c>
      <c r="N12" s="8">
        <v>25</v>
      </c>
      <c r="O12" s="9" t="str">
        <f>IF(ISBLANK(F12),"UNKNOWN",F12)</f>
        <v>Electronics</v>
      </c>
      <c r="P12" s="9" t="str">
        <f>LEFT(A12,2)</f>
        <v>17</v>
      </c>
      <c r="Q12" s="10" t="str">
        <f>MID(A12,4,3)</f>
        <v>JUN</v>
      </c>
      <c r="R12" s="10" t="str">
        <f>RIGHT(A12,2)</f>
        <v>IN</v>
      </c>
    </row>
    <row r="13" spans="1:18" ht="15.75" customHeight="1">
      <c r="A13" s="13" t="s">
        <v>41</v>
      </c>
      <c r="B13" s="3" t="s">
        <v>10</v>
      </c>
      <c r="C13" s="3" t="s">
        <v>28</v>
      </c>
      <c r="D13" s="3">
        <v>90</v>
      </c>
      <c r="E13" s="6">
        <v>40</v>
      </c>
      <c r="F13" s="3"/>
      <c r="G13" s="17">
        <v>25</v>
      </c>
      <c r="H13" s="17" t="s">
        <v>115</v>
      </c>
      <c r="I13" s="17" t="s">
        <v>116</v>
      </c>
      <c r="J13" s="7" t="s">
        <v>10</v>
      </c>
      <c r="K13" s="7" t="s">
        <v>28</v>
      </c>
      <c r="L13" s="7" t="s">
        <v>28</v>
      </c>
      <c r="M13" s="14">
        <f>IF(ISBLANK(D13),AVERAGE(D13:D43),D13)</f>
        <v>90</v>
      </c>
      <c r="N13" s="8">
        <v>40</v>
      </c>
      <c r="O13" s="9" t="str">
        <f>IF(ISBLANK(F13),"UNKNOWN",F13)</f>
        <v>UNKNOWN</v>
      </c>
      <c r="P13" s="9" t="str">
        <f>LEFT(A13,2)</f>
        <v>25</v>
      </c>
      <c r="Q13" s="10" t="str">
        <f>MID(A13,4,3)</f>
        <v>NOV</v>
      </c>
      <c r="R13" s="10" t="str">
        <f>RIGHT(A13,2)</f>
        <v>AU</v>
      </c>
    </row>
    <row r="14" spans="1:18" ht="15.75" customHeight="1">
      <c r="A14" s="12" t="s">
        <v>42</v>
      </c>
      <c r="B14" s="2" t="s">
        <v>14</v>
      </c>
      <c r="C14" s="2" t="s">
        <v>43</v>
      </c>
      <c r="D14" s="2">
        <v>120</v>
      </c>
      <c r="E14" s="5">
        <v>35</v>
      </c>
      <c r="F14" s="2"/>
      <c r="G14" s="17">
        <v>8</v>
      </c>
      <c r="H14" s="17" t="s">
        <v>117</v>
      </c>
      <c r="I14" s="17" t="s">
        <v>118</v>
      </c>
      <c r="J14" s="7" t="s">
        <v>14</v>
      </c>
      <c r="K14" s="7" t="s">
        <v>43</v>
      </c>
      <c r="L14" s="7" t="s">
        <v>43</v>
      </c>
      <c r="M14" s="14">
        <f>IF(ISBLANK(D14),AVERAGE(D14:D44),D14)</f>
        <v>120</v>
      </c>
      <c r="N14" s="8">
        <v>35</v>
      </c>
      <c r="O14" s="9" t="str">
        <f>IF(ISBLANK(F14),"UNKNOWN",F14)</f>
        <v>UNKNOWN</v>
      </c>
      <c r="P14" s="9" t="str">
        <f>LEFT(A14,2)</f>
        <v>08</v>
      </c>
      <c r="Q14" s="10" t="str">
        <f>MID(A14,4,3)</f>
        <v>DEC</v>
      </c>
      <c r="R14" s="10" t="str">
        <f>RIGHT(A14,2)</f>
        <v>DE</v>
      </c>
    </row>
    <row r="15" spans="1:18" ht="15.75" customHeight="1">
      <c r="A15" s="13" t="s">
        <v>44</v>
      </c>
      <c r="B15" s="3" t="s">
        <v>45</v>
      </c>
      <c r="C15" s="3" t="s">
        <v>46</v>
      </c>
      <c r="D15" s="3">
        <v>150</v>
      </c>
      <c r="E15" s="6">
        <v>15</v>
      </c>
      <c r="F15" s="3" t="s">
        <v>8</v>
      </c>
      <c r="G15" s="17">
        <v>18</v>
      </c>
      <c r="H15" s="17" t="s">
        <v>104</v>
      </c>
      <c r="I15" s="17" t="s">
        <v>119</v>
      </c>
      <c r="J15" s="7" t="s">
        <v>45</v>
      </c>
      <c r="K15" s="7" t="s">
        <v>46</v>
      </c>
      <c r="L15" s="7" t="s">
        <v>46</v>
      </c>
      <c r="M15" s="14">
        <f>IF(ISBLANK(D15),AVERAGE(D15:D45),D15)</f>
        <v>150</v>
      </c>
      <c r="N15" s="8">
        <v>15</v>
      </c>
      <c r="O15" s="9" t="str">
        <f>IF(ISBLANK(F15),"UNKNOWN",F15)</f>
        <v>Electronics</v>
      </c>
      <c r="P15" s="9" t="str">
        <f>LEFT(A15,2)</f>
        <v>18</v>
      </c>
      <c r="Q15" s="10" t="str">
        <f>MID(A15,4,3)</f>
        <v>FEB</v>
      </c>
      <c r="R15" s="10" t="str">
        <f>RIGHT(A15,2)</f>
        <v>CA</v>
      </c>
    </row>
    <row r="16" spans="1:18" ht="15.75" customHeight="1">
      <c r="A16" s="12" t="s">
        <v>47</v>
      </c>
      <c r="B16" s="2" t="s">
        <v>48</v>
      </c>
      <c r="C16" s="2" t="s">
        <v>49</v>
      </c>
      <c r="D16" s="2">
        <v>250</v>
      </c>
      <c r="E16" s="5">
        <v>20</v>
      </c>
      <c r="F16" s="2" t="s">
        <v>8</v>
      </c>
      <c r="G16" s="17">
        <v>16</v>
      </c>
      <c r="H16" s="17" t="s">
        <v>106</v>
      </c>
      <c r="I16" s="17" t="s">
        <v>120</v>
      </c>
      <c r="J16" s="7" t="s">
        <v>48</v>
      </c>
      <c r="K16" s="7" t="s">
        <v>49</v>
      </c>
      <c r="L16" s="7" t="s">
        <v>49</v>
      </c>
      <c r="M16" s="14">
        <f>IF(ISBLANK(D16),AVERAGE(D16:D46),D16)</f>
        <v>250</v>
      </c>
      <c r="N16" s="8">
        <v>20</v>
      </c>
      <c r="O16" s="9" t="str">
        <f>IF(ISBLANK(F16),"UNKNOWN",F16)</f>
        <v>Electronics</v>
      </c>
      <c r="P16" s="9" t="str">
        <f>LEFT(A16,2)</f>
        <v>16</v>
      </c>
      <c r="Q16" s="10" t="str">
        <f>MID(A16,4,3)</f>
        <v>APR</v>
      </c>
      <c r="R16" s="10" t="str">
        <f>RIGHT(A16,2)</f>
        <v>ES</v>
      </c>
    </row>
    <row r="17" spans="1:18" ht="15.75" customHeight="1">
      <c r="A17" s="13" t="s">
        <v>50</v>
      </c>
      <c r="B17" s="3" t="s">
        <v>101</v>
      </c>
      <c r="C17" s="3" t="s">
        <v>51</v>
      </c>
      <c r="D17" s="3">
        <v>50</v>
      </c>
      <c r="E17" s="6">
        <v>35</v>
      </c>
      <c r="F17" s="3" t="s">
        <v>52</v>
      </c>
      <c r="G17" s="17">
        <v>21</v>
      </c>
      <c r="H17" s="17" t="s">
        <v>111</v>
      </c>
      <c r="I17" s="17" t="s">
        <v>119</v>
      </c>
      <c r="J17" s="7" t="s">
        <v>101</v>
      </c>
      <c r="K17" s="7" t="s">
        <v>51</v>
      </c>
      <c r="L17" s="7" t="s">
        <v>51</v>
      </c>
      <c r="M17" s="14">
        <f>IF(ISBLANK(D17),AVERAGE(D17:D47),D17)</f>
        <v>50</v>
      </c>
      <c r="N17" s="8">
        <v>35</v>
      </c>
      <c r="O17" s="9" t="str">
        <f>IF(ISBLANK(F17),"UNKNOWN",F17)</f>
        <v>Accessories</v>
      </c>
      <c r="P17" s="9" t="str">
        <f>LEFT(A17,2)</f>
        <v>21</v>
      </c>
      <c r="Q17" s="10" t="str">
        <f>MID(A17,4,3)</f>
        <v>AUG</v>
      </c>
      <c r="R17" s="10" t="str">
        <f>RIGHT(A17,2)</f>
        <v>CA</v>
      </c>
    </row>
    <row r="18" spans="1:18" ht="15.75" customHeight="1">
      <c r="A18" s="12" t="s">
        <v>53</v>
      </c>
      <c r="B18" s="2" t="s">
        <v>45</v>
      </c>
      <c r="C18" s="2" t="s">
        <v>54</v>
      </c>
      <c r="D18" s="2">
        <v>160</v>
      </c>
      <c r="E18" s="5">
        <v>15</v>
      </c>
      <c r="F18" s="2" t="s">
        <v>8</v>
      </c>
      <c r="G18" s="17">
        <v>20</v>
      </c>
      <c r="H18" s="17" t="s">
        <v>111</v>
      </c>
      <c r="I18" s="17" t="s">
        <v>121</v>
      </c>
      <c r="J18" s="7" t="s">
        <v>45</v>
      </c>
      <c r="K18" s="7" t="s">
        <v>54</v>
      </c>
      <c r="L18" s="7" t="s">
        <v>54</v>
      </c>
      <c r="M18" s="14">
        <f>IF(ISBLANK(D18),AVERAGE(D18:D48),D18)</f>
        <v>160</v>
      </c>
      <c r="N18" s="8">
        <v>15</v>
      </c>
      <c r="O18" s="9" t="str">
        <f>IF(ISBLANK(F18),"UNKNOWN",F18)</f>
        <v>Electronics</v>
      </c>
      <c r="P18" s="9" t="str">
        <f>LEFT(A18,2)</f>
        <v>20</v>
      </c>
      <c r="Q18" s="10" t="str">
        <f>MID(A18,4,3)</f>
        <v>AUG</v>
      </c>
      <c r="R18" s="10" t="str">
        <f>RIGHT(A18,2)</f>
        <v>CN</v>
      </c>
    </row>
    <row r="19" spans="1:18" ht="15.75" customHeight="1">
      <c r="A19" s="13" t="s">
        <v>55</v>
      </c>
      <c r="B19" s="3" t="s">
        <v>100</v>
      </c>
      <c r="C19" s="3" t="s">
        <v>56</v>
      </c>
      <c r="D19" s="3">
        <v>980</v>
      </c>
      <c r="E19" s="6">
        <v>10</v>
      </c>
      <c r="F19" s="3" t="s">
        <v>8</v>
      </c>
      <c r="G19" s="17">
        <v>27</v>
      </c>
      <c r="H19" s="17" t="s">
        <v>102</v>
      </c>
      <c r="I19" s="17" t="s">
        <v>122</v>
      </c>
      <c r="J19" s="7" t="s">
        <v>100</v>
      </c>
      <c r="K19" s="7" t="s">
        <v>56</v>
      </c>
      <c r="L19" s="7" t="s">
        <v>56</v>
      </c>
      <c r="M19" s="14">
        <f>IF(ISBLANK(D19),AVERAGE(D19:D49),D19)</f>
        <v>980</v>
      </c>
      <c r="N19" s="8">
        <v>10</v>
      </c>
      <c r="O19" s="9" t="str">
        <f>IF(ISBLANK(F19),"UNKNOWN",F19)</f>
        <v>Electronics</v>
      </c>
      <c r="P19" s="9" t="str">
        <f>LEFT(A19,2)</f>
        <v>27</v>
      </c>
      <c r="Q19" s="10" t="str">
        <f>MID(A19,4,3)</f>
        <v>JAN</v>
      </c>
      <c r="R19" s="10" t="str">
        <f>RIGHT(A19,2)</f>
        <v>IT</v>
      </c>
    </row>
    <row r="20" spans="1:18" ht="15.75" customHeight="1">
      <c r="A20" s="12" t="s">
        <v>57</v>
      </c>
      <c r="B20" s="2" t="s">
        <v>58</v>
      </c>
      <c r="C20" s="2" t="s">
        <v>59</v>
      </c>
      <c r="D20" s="2">
        <v>150</v>
      </c>
      <c r="E20" s="5">
        <v>15</v>
      </c>
      <c r="F20" s="2" t="s">
        <v>12</v>
      </c>
      <c r="G20" s="17">
        <v>1</v>
      </c>
      <c r="H20" s="17" t="s">
        <v>105</v>
      </c>
      <c r="I20" s="17" t="s">
        <v>109</v>
      </c>
      <c r="J20" s="7" t="s">
        <v>58</v>
      </c>
      <c r="K20" s="7" t="s">
        <v>59</v>
      </c>
      <c r="L20" s="7" t="s">
        <v>59</v>
      </c>
      <c r="M20" s="14">
        <f>IF(ISBLANK(D20),AVERAGE(D20:D50),D20)</f>
        <v>150</v>
      </c>
      <c r="N20" s="8">
        <v>15</v>
      </c>
      <c r="O20" s="9" t="str">
        <f>IF(ISBLANK(F20),"UNKNOWN",F20)</f>
        <v>Fashion</v>
      </c>
      <c r="P20" s="9" t="str">
        <f>LEFT(A20,2)</f>
        <v>01</v>
      </c>
      <c r="Q20" s="10" t="str">
        <f>MID(A20,4,3)</f>
        <v>MAR</v>
      </c>
      <c r="R20" s="10" t="str">
        <f>RIGHT(A20,2)</f>
        <v>UK</v>
      </c>
    </row>
    <row r="21" spans="1:18" ht="15.75" customHeight="1">
      <c r="A21" s="13" t="s">
        <v>60</v>
      </c>
      <c r="B21" s="3" t="s">
        <v>61</v>
      </c>
      <c r="C21" s="3" t="s">
        <v>62</v>
      </c>
      <c r="D21" s="3"/>
      <c r="E21" s="6">
        <v>10</v>
      </c>
      <c r="F21" s="3" t="s">
        <v>38</v>
      </c>
      <c r="G21" s="17">
        <v>14</v>
      </c>
      <c r="H21" s="17" t="s">
        <v>111</v>
      </c>
      <c r="I21" s="17" t="s">
        <v>103</v>
      </c>
      <c r="J21" s="7" t="s">
        <v>61</v>
      </c>
      <c r="K21" s="7" t="s">
        <v>62</v>
      </c>
      <c r="L21" s="7" t="s">
        <v>62</v>
      </c>
      <c r="M21" s="14">
        <f>IF(ISBLANK(D21),AVERAGE(D21:D51),D21)</f>
        <v>251</v>
      </c>
      <c r="N21" s="8">
        <v>10</v>
      </c>
      <c r="O21" s="9" t="str">
        <f>IF(ISBLANK(F21),"UNKNOWN",F21)</f>
        <v>Outdoor</v>
      </c>
      <c r="P21" s="9" t="str">
        <f>LEFT(A21,2)</f>
        <v>14</v>
      </c>
      <c r="Q21" s="10" t="str">
        <f>MID(A21,4,3)</f>
        <v>AUG</v>
      </c>
      <c r="R21" s="10" t="str">
        <f>RIGHT(A21,2)</f>
        <v>US</v>
      </c>
    </row>
    <row r="22" spans="1:18" ht="15.75" customHeight="1">
      <c r="A22" s="12" t="s">
        <v>63</v>
      </c>
      <c r="B22" s="2" t="s">
        <v>64</v>
      </c>
      <c r="C22" s="2" t="s">
        <v>65</v>
      </c>
      <c r="D22" s="2">
        <v>700</v>
      </c>
      <c r="E22" s="5">
        <v>50</v>
      </c>
      <c r="F22" s="2" t="s">
        <v>8</v>
      </c>
      <c r="G22" s="17">
        <v>14</v>
      </c>
      <c r="H22" s="17" t="s">
        <v>107</v>
      </c>
      <c r="I22" s="17" t="s">
        <v>123</v>
      </c>
      <c r="J22" s="7" t="s">
        <v>64</v>
      </c>
      <c r="K22" s="7" t="s">
        <v>65</v>
      </c>
      <c r="L22" s="7" t="s">
        <v>65</v>
      </c>
      <c r="M22" s="14">
        <f>IF(ISBLANK(D22),AVERAGE(D22:D52),D22)</f>
        <v>700</v>
      </c>
      <c r="N22" s="8">
        <v>50</v>
      </c>
      <c r="O22" s="9" t="str">
        <f>IF(ISBLANK(F22),"UNKNOWN",F22)</f>
        <v>Electronics</v>
      </c>
      <c r="P22" s="9" t="str">
        <f>LEFT(A22,2)</f>
        <v>14</v>
      </c>
      <c r="Q22" s="10" t="str">
        <f>MID(A22,4,3)</f>
        <v>MAY</v>
      </c>
      <c r="R22" s="10" t="str">
        <f>RIGHT(A22,2)</f>
        <v>RU</v>
      </c>
    </row>
    <row r="23" spans="1:18" ht="15.75" customHeight="1">
      <c r="A23" s="13" t="s">
        <v>66</v>
      </c>
      <c r="B23" s="3" t="s">
        <v>67</v>
      </c>
      <c r="C23" s="3" t="s">
        <v>68</v>
      </c>
      <c r="D23" s="3">
        <v>80</v>
      </c>
      <c r="E23" s="6">
        <v>20</v>
      </c>
      <c r="F23" s="3" t="s">
        <v>16</v>
      </c>
      <c r="G23" s="17">
        <v>9</v>
      </c>
      <c r="H23" s="17" t="s">
        <v>102</v>
      </c>
      <c r="I23" s="17" t="s">
        <v>119</v>
      </c>
      <c r="J23" s="7" t="s">
        <v>67</v>
      </c>
      <c r="K23" s="7" t="s">
        <v>68</v>
      </c>
      <c r="L23" s="7" t="s">
        <v>68</v>
      </c>
      <c r="M23" s="14">
        <f>IF(ISBLANK(D23),AVERAGE(D23:D53),D23)</f>
        <v>80</v>
      </c>
      <c r="N23" s="8">
        <v>20</v>
      </c>
      <c r="O23" s="9" t="str">
        <f>IF(ISBLANK(F23),"UNKNOWN",F23)</f>
        <v>Kitchen</v>
      </c>
      <c r="P23" s="9" t="str">
        <f>LEFT(A23,2)</f>
        <v>09</v>
      </c>
      <c r="Q23" s="10" t="str">
        <f>MID(A23,4,3)</f>
        <v>JAN</v>
      </c>
      <c r="R23" s="10" t="str">
        <f>RIGHT(A23,2)</f>
        <v>CA</v>
      </c>
    </row>
    <row r="24" spans="1:18" ht="15.75" customHeight="1">
      <c r="A24" s="12" t="s">
        <v>69</v>
      </c>
      <c r="B24" s="2" t="s">
        <v>70</v>
      </c>
      <c r="C24" s="2" t="s">
        <v>71</v>
      </c>
      <c r="D24" s="2">
        <v>150</v>
      </c>
      <c r="E24" s="5">
        <v>30</v>
      </c>
      <c r="F24" s="2"/>
      <c r="G24" s="17">
        <v>19</v>
      </c>
      <c r="H24" s="17" t="s">
        <v>110</v>
      </c>
      <c r="I24" s="17" t="s">
        <v>124</v>
      </c>
      <c r="J24" s="7" t="s">
        <v>70</v>
      </c>
      <c r="K24" s="7" t="s">
        <v>71</v>
      </c>
      <c r="L24" s="7" t="s">
        <v>71</v>
      </c>
      <c r="M24" s="14">
        <f>IF(ISBLANK(D24),AVERAGE(D24:D54),D24)</f>
        <v>150</v>
      </c>
      <c r="N24" s="8">
        <v>30</v>
      </c>
      <c r="O24" s="9" t="str">
        <f>IF(ISBLANK(F24),"UNKNOWN",F24)</f>
        <v>UNKNOWN</v>
      </c>
      <c r="P24" s="9" t="str">
        <f>LEFT(A24,2)</f>
        <v>19</v>
      </c>
      <c r="Q24" s="10" t="str">
        <f>MID(A24,4,3)</f>
        <v>JUL</v>
      </c>
      <c r="R24" s="10" t="str">
        <f>RIGHT(A24,2)</f>
        <v>BR</v>
      </c>
    </row>
    <row r="25" spans="1:18" ht="15.75" customHeight="1">
      <c r="A25" s="12" t="s">
        <v>72</v>
      </c>
      <c r="B25" s="2" t="s">
        <v>73</v>
      </c>
      <c r="C25" s="2" t="s">
        <v>74</v>
      </c>
      <c r="D25" s="2">
        <v>800</v>
      </c>
      <c r="E25" s="5">
        <v>45</v>
      </c>
      <c r="F25" s="2" t="s">
        <v>8</v>
      </c>
      <c r="G25" s="17">
        <v>29</v>
      </c>
      <c r="H25" s="17" t="s">
        <v>112</v>
      </c>
      <c r="I25" s="17" t="s">
        <v>119</v>
      </c>
      <c r="J25" s="7" t="s">
        <v>73</v>
      </c>
      <c r="K25" s="7" t="s">
        <v>74</v>
      </c>
      <c r="L25" s="7" t="s">
        <v>74</v>
      </c>
      <c r="M25" s="14">
        <f>IF(ISBLANK(D25),AVERAGE(D25:D55),D25)</f>
        <v>800</v>
      </c>
      <c r="N25" s="8">
        <v>45</v>
      </c>
      <c r="O25" s="9" t="str">
        <f>IF(ISBLANK(F25),"UNKNOWN",F25)</f>
        <v>Electronics</v>
      </c>
      <c r="P25" s="9" t="str">
        <f>LEFT(A25,2)</f>
        <v>29</v>
      </c>
      <c r="Q25" s="10" t="str">
        <f>MID(A25,4,3)</f>
        <v>SEP</v>
      </c>
      <c r="R25" s="10" t="str">
        <f>RIGHT(A25,2)</f>
        <v>CA</v>
      </c>
    </row>
    <row r="26" spans="1:18" ht="15.75" customHeight="1">
      <c r="A26" s="13" t="s">
        <v>75</v>
      </c>
      <c r="B26" s="3" t="s">
        <v>58</v>
      </c>
      <c r="C26" s="3" t="s">
        <v>76</v>
      </c>
      <c r="D26" s="3"/>
      <c r="E26" s="6">
        <v>25</v>
      </c>
      <c r="F26" s="3" t="s">
        <v>12</v>
      </c>
      <c r="G26" s="17">
        <v>3</v>
      </c>
      <c r="H26" s="17" t="s">
        <v>108</v>
      </c>
      <c r="I26" s="17" t="s">
        <v>119</v>
      </c>
      <c r="J26" s="7" t="s">
        <v>58</v>
      </c>
      <c r="K26" s="7" t="s">
        <v>76</v>
      </c>
      <c r="L26" s="7" t="s">
        <v>76</v>
      </c>
      <c r="M26" s="14">
        <f>IF(ISBLANK(D26),AVERAGE(D26:D56),D26)</f>
        <v>130</v>
      </c>
      <c r="N26" s="8">
        <v>25</v>
      </c>
      <c r="O26" s="9" t="str">
        <f>IF(ISBLANK(F26),"UNKNOWN",F26)</f>
        <v>Fashion</v>
      </c>
      <c r="P26" s="9" t="str">
        <f>LEFT(A26,2)</f>
        <v>03</v>
      </c>
      <c r="Q26" s="10" t="str">
        <f>MID(A26,4,3)</f>
        <v>JUN</v>
      </c>
      <c r="R26" s="10" t="str">
        <f>RIGHT(A26,2)</f>
        <v>CA</v>
      </c>
    </row>
    <row r="27" spans="1:18" ht="15.75" customHeight="1">
      <c r="A27" s="12" t="s">
        <v>77</v>
      </c>
      <c r="B27" s="2" t="s">
        <v>30</v>
      </c>
      <c r="C27" s="2" t="s">
        <v>78</v>
      </c>
      <c r="D27" s="2">
        <v>400</v>
      </c>
      <c r="E27" s="5">
        <v>40</v>
      </c>
      <c r="F27" s="2" t="s">
        <v>16</v>
      </c>
      <c r="G27" s="17">
        <v>11</v>
      </c>
      <c r="H27" s="17" t="s">
        <v>110</v>
      </c>
      <c r="I27" s="17" t="s">
        <v>119</v>
      </c>
      <c r="J27" s="7" t="s">
        <v>30</v>
      </c>
      <c r="K27" s="7" t="s">
        <v>78</v>
      </c>
      <c r="L27" s="7" t="s">
        <v>78</v>
      </c>
      <c r="M27" s="14">
        <f>IF(ISBLANK(D27),AVERAGE(D27:D57),D27)</f>
        <v>400</v>
      </c>
      <c r="N27" s="8">
        <v>40</v>
      </c>
      <c r="O27" s="9" t="str">
        <f>IF(ISBLANK(F27),"UNKNOWN",F27)</f>
        <v>Kitchen</v>
      </c>
      <c r="P27" s="9" t="str">
        <f>LEFT(A27,2)</f>
        <v>11</v>
      </c>
      <c r="Q27" s="10" t="str">
        <f>MID(A27,4,3)</f>
        <v>JUL</v>
      </c>
      <c r="R27" s="10" t="str">
        <f>RIGHT(A27,2)</f>
        <v>CA</v>
      </c>
    </row>
    <row r="28" spans="1:18" ht="15.75" customHeight="1">
      <c r="A28" s="12" t="s">
        <v>79</v>
      </c>
      <c r="B28" s="2" t="s">
        <v>80</v>
      </c>
      <c r="C28" s="2" t="s">
        <v>81</v>
      </c>
      <c r="D28" s="2">
        <v>60</v>
      </c>
      <c r="E28" s="5">
        <v>30</v>
      </c>
      <c r="F28" s="2" t="s">
        <v>12</v>
      </c>
      <c r="G28" s="17">
        <v>7</v>
      </c>
      <c r="H28" s="17" t="s">
        <v>105</v>
      </c>
      <c r="I28" s="17" t="s">
        <v>119</v>
      </c>
      <c r="J28" s="7" t="s">
        <v>80</v>
      </c>
      <c r="K28" s="7" t="s">
        <v>81</v>
      </c>
      <c r="L28" s="7" t="s">
        <v>81</v>
      </c>
      <c r="M28" s="14">
        <f>IF(ISBLANK(D28),AVERAGE(D28:D58),D28)</f>
        <v>60</v>
      </c>
      <c r="N28" s="8">
        <v>30</v>
      </c>
      <c r="O28" s="9" t="str">
        <f>IF(ISBLANK(F28),"UNKNOWN",F28)</f>
        <v>Fashion</v>
      </c>
      <c r="P28" s="9" t="str">
        <f>LEFT(A28,2)</f>
        <v>07</v>
      </c>
      <c r="Q28" s="10" t="str">
        <f>MID(A28,4,3)</f>
        <v>MAR</v>
      </c>
      <c r="R28" s="10" t="str">
        <f>RIGHT(A28,2)</f>
        <v>CA</v>
      </c>
    </row>
    <row r="29" spans="1:18" ht="15.75" customHeight="1">
      <c r="A29" s="13" t="s">
        <v>82</v>
      </c>
      <c r="B29" s="3" t="s">
        <v>83</v>
      </c>
      <c r="C29" s="3" t="s">
        <v>84</v>
      </c>
      <c r="D29" s="3">
        <v>40</v>
      </c>
      <c r="E29" s="6">
        <v>10</v>
      </c>
      <c r="F29" s="3" t="s">
        <v>16</v>
      </c>
      <c r="G29" s="17">
        <v>13</v>
      </c>
      <c r="H29" s="17" t="s">
        <v>106</v>
      </c>
      <c r="I29" s="17" t="s">
        <v>119</v>
      </c>
      <c r="J29" s="7" t="s">
        <v>83</v>
      </c>
      <c r="K29" s="7" t="s">
        <v>84</v>
      </c>
      <c r="L29" s="7" t="s">
        <v>84</v>
      </c>
      <c r="M29" s="14">
        <f>IF(ISBLANK(D29),AVERAGE(D29:D59),D29)</f>
        <v>40</v>
      </c>
      <c r="N29" s="8">
        <v>10</v>
      </c>
      <c r="O29" s="9" t="str">
        <f>IF(ISBLANK(F29),"UNKNOWN",F29)</f>
        <v>Kitchen</v>
      </c>
      <c r="P29" s="9" t="str">
        <f>LEFT(A29,2)</f>
        <v>13</v>
      </c>
      <c r="Q29" s="10" t="str">
        <f>MID(A29,4,3)</f>
        <v>APR</v>
      </c>
      <c r="R29" s="10" t="str">
        <f>RIGHT(A29,2)</f>
        <v>CA</v>
      </c>
    </row>
    <row r="30" spans="1:18" ht="15.75" customHeight="1">
      <c r="A30" s="12" t="s">
        <v>85</v>
      </c>
      <c r="B30" s="2" t="s">
        <v>70</v>
      </c>
      <c r="C30" s="2" t="s">
        <v>86</v>
      </c>
      <c r="D30" s="2">
        <v>130</v>
      </c>
      <c r="E30" s="5">
        <v>5</v>
      </c>
      <c r="F30" s="2" t="s">
        <v>8</v>
      </c>
      <c r="G30" s="17">
        <v>24</v>
      </c>
      <c r="H30" s="17" t="s">
        <v>107</v>
      </c>
      <c r="I30" s="17" t="s">
        <v>119</v>
      </c>
      <c r="J30" s="7" t="s">
        <v>70</v>
      </c>
      <c r="K30" s="7" t="s">
        <v>86</v>
      </c>
      <c r="L30" s="7" t="s">
        <v>86</v>
      </c>
      <c r="M30" s="14">
        <f>IF(ISBLANK(D30),AVERAGE(D30:D60),D30)</f>
        <v>130</v>
      </c>
      <c r="N30" s="8">
        <v>5</v>
      </c>
      <c r="O30" s="9" t="str">
        <f>IF(ISBLANK(F30),"UNKNOWN",F30)</f>
        <v>Electronics</v>
      </c>
      <c r="P30" s="9" t="str">
        <f>LEFT(A30,2)</f>
        <v>24</v>
      </c>
      <c r="Q30" s="10" t="str">
        <f>MID(A30,4,3)</f>
        <v>MAY</v>
      </c>
      <c r="R30" s="10" t="str">
        <f>RIGHT(A30,2)</f>
        <v>CA</v>
      </c>
    </row>
    <row r="31" spans="1:18" ht="15.75" customHeight="1">
      <c r="A31" s="13" t="s">
        <v>87</v>
      </c>
      <c r="B31" s="3" t="s">
        <v>88</v>
      </c>
      <c r="C31" s="3" t="s">
        <v>89</v>
      </c>
      <c r="D31" s="3">
        <v>50</v>
      </c>
      <c r="E31" s="6">
        <v>50</v>
      </c>
      <c r="F31" s="3" t="s">
        <v>12</v>
      </c>
      <c r="G31" s="17">
        <v>2</v>
      </c>
      <c r="H31" s="17" t="s">
        <v>117</v>
      </c>
      <c r="I31" s="17" t="s">
        <v>119</v>
      </c>
      <c r="J31" s="7" t="s">
        <v>88</v>
      </c>
      <c r="K31" s="7" t="s">
        <v>89</v>
      </c>
      <c r="L31" s="7" t="s">
        <v>89</v>
      </c>
      <c r="M31" s="14">
        <f>IF(ISBLANK(D31),AVERAGE(D31:D61),D31)</f>
        <v>50</v>
      </c>
      <c r="N31" s="8">
        <v>50</v>
      </c>
      <c r="O31" s="9" t="str">
        <f>IF(ISBLANK(F31),"UNKNOWN",F31)</f>
        <v>Fashion</v>
      </c>
      <c r="P31" s="9" t="str">
        <f>LEFT(A31,2)</f>
        <v>02</v>
      </c>
      <c r="Q31" s="10" t="str">
        <f>MID(A31,4,3)</f>
        <v>DEC</v>
      </c>
      <c r="R31" s="10" t="str">
        <f>RIGHT(A31,2)</f>
        <v>CA</v>
      </c>
    </row>
    <row r="32" spans="1:18" ht="15.75" customHeight="1">
      <c r="A32" s="13" t="s">
        <v>90</v>
      </c>
      <c r="B32" s="3" t="s">
        <v>91</v>
      </c>
      <c r="C32" s="3" t="s">
        <v>92</v>
      </c>
      <c r="D32" s="3">
        <v>100</v>
      </c>
      <c r="E32" s="6">
        <v>20</v>
      </c>
      <c r="F32" s="3" t="s">
        <v>52</v>
      </c>
      <c r="G32" s="17">
        <v>9</v>
      </c>
      <c r="H32" s="17" t="s">
        <v>110</v>
      </c>
      <c r="I32" s="17" t="s">
        <v>125</v>
      </c>
      <c r="J32" s="7" t="s">
        <v>91</v>
      </c>
      <c r="K32" s="7" t="s">
        <v>92</v>
      </c>
      <c r="L32" s="7" t="s">
        <v>92</v>
      </c>
      <c r="M32" s="14">
        <f>IF(ISBLANK(D32),AVERAGE(D32:D62),D32)</f>
        <v>100</v>
      </c>
      <c r="N32" s="8">
        <v>20</v>
      </c>
      <c r="O32" s="9" t="str">
        <f>IF(ISBLANK(F32),"UNKNOWN",F32)</f>
        <v>Accessories</v>
      </c>
      <c r="P32" s="9" t="str">
        <f>LEFT(A32,2)</f>
        <v>09</v>
      </c>
      <c r="Q32" s="10" t="str">
        <f>MID(A32,4,3)</f>
        <v>JUL</v>
      </c>
      <c r="R32" s="10" t="str">
        <f>RIGHT(A32,2)</f>
        <v>FR</v>
      </c>
    </row>
    <row r="33" spans="4:13" ht="15.75" customHeight="1"/>
    <row r="34" spans="4:13" ht="15.75" customHeight="1"/>
    <row r="35" spans="4:13" ht="15.75" customHeight="1">
      <c r="M35" s="15" t="s">
        <v>128</v>
      </c>
    </row>
    <row r="36" spans="4:13" ht="15.75" customHeight="1">
      <c r="D36" t="s">
        <v>95</v>
      </c>
      <c r="E36" s="4">
        <f>COUNTBLANK(D2:D32)</f>
        <v>3</v>
      </c>
    </row>
    <row r="37" spans="4:13" ht="15.75" customHeight="1">
      <c r="E37" s="4"/>
    </row>
    <row r="38" spans="4:13" ht="15.75" customHeight="1">
      <c r="D38" t="s">
        <v>96</v>
      </c>
      <c r="E38" s="4">
        <f>COUNTBLANK(F2:F32)</f>
        <v>4</v>
      </c>
    </row>
    <row r="39" spans="4:13" ht="15.75" customHeight="1"/>
    <row r="40" spans="4:13" ht="15.75" customHeight="1">
      <c r="K40" t="str">
        <f>PROPER(J40)</f>
        <v/>
      </c>
    </row>
    <row r="41" spans="4:13" ht="15.75" customHeight="1"/>
    <row r="42" spans="4:13" ht="15.75" customHeight="1"/>
    <row r="43" spans="4:13" ht="15.75" customHeight="1"/>
    <row r="44" spans="4:13" ht="15.75" customHeight="1"/>
    <row r="45" spans="4:13" ht="15.75" customHeight="1"/>
    <row r="46" spans="4:13" ht="15.75" customHeight="1"/>
    <row r="47" spans="4:13" ht="15.75" customHeight="1">
      <c r="K47" t="s">
        <v>93</v>
      </c>
    </row>
    <row r="48" spans="4:13" ht="15.75" customHeight="1"/>
    <row r="49" spans="4:4" ht="15.75" customHeight="1"/>
    <row r="50" spans="4:4" ht="15.75" customHeight="1"/>
    <row r="51" spans="4:4" ht="15.75" customHeight="1"/>
    <row r="52" spans="4:4" ht="15.75" customHeight="1"/>
    <row r="53" spans="4:4" ht="15.75" customHeight="1"/>
    <row r="54" spans="4:4" ht="15.75" customHeight="1"/>
    <row r="55" spans="4:4" ht="15.75" customHeight="1"/>
    <row r="56" spans="4:4" ht="15.75" customHeight="1"/>
    <row r="57" spans="4:4" ht="15.75" customHeight="1"/>
    <row r="58" spans="4:4" ht="15.75" customHeight="1"/>
    <row r="59" spans="4:4" ht="15.75" customHeight="1"/>
    <row r="60" spans="4:4" ht="15.75" customHeight="1"/>
    <row r="61" spans="4:4" ht="15.75" customHeight="1">
      <c r="D61" t="s">
        <v>93</v>
      </c>
    </row>
    <row r="62" spans="4:4" ht="15.75" customHeight="1"/>
    <row r="63" spans="4:4" ht="15.75" customHeight="1"/>
    <row r="64" spans="4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38">
    <cfRule type="cellIs" dxfId="1" priority="2" operator="greaterThan">
      <formula>"5$M$2:$M$32"</formula>
    </cfRule>
  </conditionalFormatting>
  <conditionalFormatting sqref="M2:M32">
    <cfRule type="cellIs" dxfId="0" priority="1" operator="greaterThan">
      <formula>500</formula>
    </cfRule>
  </conditionalFormatting>
  <pageMargins left="0.75" right="0.75" top="1" bottom="1" header="0.5" footer="0.5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56DAF8-C9F3-445F-A202-3E50181658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Pushparaj B</cp:lastModifiedBy>
  <dcterms:created xsi:type="dcterms:W3CDTF">2026-07-23T14:43:37Z</dcterms:created>
  <dcterms:modified xsi:type="dcterms:W3CDTF">2026-09-07T08:25:51Z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